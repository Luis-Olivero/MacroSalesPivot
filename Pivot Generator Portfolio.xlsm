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23117a34b5e6519/Documents/"/>
    </mc:Choice>
  </mc:AlternateContent>
  <xr:revisionPtr revIDLastSave="108" documentId="8_{4FBA87DF-1484-4179-9A86-E5DB15BF001B}" xr6:coauthVersionLast="47" xr6:coauthVersionMax="47" xr10:uidLastSave="{31B05EF3-4A22-441D-8C7D-78981217B458}"/>
  <bookViews>
    <workbookView xWindow="-120" yWindow="-120" windowWidth="20730" windowHeight="11040" xr2:uid="{11C8B50C-53A2-4200-AA19-5EE8BBC4B5D0}"/>
  </bookViews>
  <sheets>
    <sheet name="Instructions" sheetId="1" r:id="rId1"/>
    <sheet name="Sample Raw Data" sheetId="3" r:id="rId2"/>
    <sheet name="Insert Data" sheetId="2" r:id="rId3"/>
    <sheet name="Business Type Pivot" sheetId="5" r:id="rId4"/>
    <sheet name="Rank Pivot" sheetId="6" r:id="rId5"/>
    <sheet name="Market Benchmark Pivot" sheetId="7" r:id="rId6"/>
  </sheets>
  <externalReferences>
    <externalReference r:id="rId7"/>
  </externalReferences>
  <definedNames>
    <definedName name="_xlnm._FilterDatabase" localSheetId="1" hidden="1">'Sample Raw Data'!$A$1:$I$1</definedName>
  </definedNames>
  <calcPr calcId="191029"/>
  <pivotCaches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3" l="1"/>
  <c r="H11" i="3"/>
  <c r="H15" i="3"/>
  <c r="H19" i="3"/>
  <c r="H23" i="3"/>
  <c r="H27" i="3"/>
  <c r="F4" i="3"/>
  <c r="H4" i="3" s="1"/>
  <c r="F5" i="3"/>
  <c r="H5" i="3" s="1"/>
  <c r="F6" i="3"/>
  <c r="H6" i="3" s="1"/>
  <c r="F7" i="3"/>
  <c r="F8" i="3"/>
  <c r="H8" i="3" s="1"/>
  <c r="F9" i="3"/>
  <c r="H9" i="3" s="1"/>
  <c r="F10" i="3"/>
  <c r="H10" i="3" s="1"/>
  <c r="F11" i="3"/>
  <c r="F12" i="3"/>
  <c r="H12" i="3" s="1"/>
  <c r="F13" i="3"/>
  <c r="H13" i="3" s="1"/>
  <c r="F14" i="3"/>
  <c r="H14" i="3" s="1"/>
  <c r="F15" i="3"/>
  <c r="F16" i="3"/>
  <c r="H16" i="3" s="1"/>
  <c r="F17" i="3"/>
  <c r="H17" i="3" s="1"/>
  <c r="F18" i="3"/>
  <c r="H18" i="3" s="1"/>
  <c r="F19" i="3"/>
  <c r="F20" i="3"/>
  <c r="H20" i="3" s="1"/>
  <c r="F21" i="3"/>
  <c r="H21" i="3" s="1"/>
  <c r="F22" i="3"/>
  <c r="H22" i="3" s="1"/>
  <c r="F23" i="3"/>
  <c r="F24" i="3"/>
  <c r="H24" i="3" s="1"/>
  <c r="F25" i="3"/>
  <c r="H25" i="3" s="1"/>
  <c r="F26" i="3"/>
  <c r="H26" i="3" s="1"/>
  <c r="F27" i="3"/>
  <c r="F28" i="3"/>
  <c r="H28" i="3" s="1"/>
  <c r="F29" i="3"/>
  <c r="H29" i="3" s="1"/>
  <c r="F2" i="3"/>
  <c r="H2" i="3" s="1"/>
  <c r="F3" i="3"/>
  <c r="H3" i="3" s="1"/>
</calcChain>
</file>

<file path=xl/sharedStrings.xml><?xml version="1.0" encoding="utf-8"?>
<sst xmlns="http://schemas.openxmlformats.org/spreadsheetml/2006/main" count="171" uniqueCount="34">
  <si>
    <t>Potential Revenue</t>
  </si>
  <si>
    <t>Market Rate</t>
  </si>
  <si>
    <t>Within Market Rate</t>
  </si>
  <si>
    <t>Business Type</t>
  </si>
  <si>
    <t>Profit Margin</t>
  </si>
  <si>
    <t>Stack Rank</t>
  </si>
  <si>
    <t>Very Bad</t>
  </si>
  <si>
    <t>Bad</t>
  </si>
  <si>
    <t>Good</t>
  </si>
  <si>
    <t>Excellent</t>
  </si>
  <si>
    <t>Online</t>
  </si>
  <si>
    <t>Store</t>
  </si>
  <si>
    <t>Expected Conversion</t>
  </si>
  <si>
    <t>Quantity Forecasted</t>
  </si>
  <si>
    <t>Revenue Forecasted</t>
  </si>
  <si>
    <t>Forecasted Revenue</t>
  </si>
  <si>
    <t>Rank</t>
  </si>
  <si>
    <t>Grand Total</t>
  </si>
  <si>
    <t>Potential Revenue.</t>
  </si>
  <si>
    <t>Market Rate.</t>
  </si>
  <si>
    <t>Profit Margin.</t>
  </si>
  <si>
    <t>Expected Conversion.</t>
  </si>
  <si>
    <t>Quantity Forecasted.</t>
  </si>
  <si>
    <t>Revenue Forecasted.</t>
  </si>
  <si>
    <t>Business Type.</t>
  </si>
  <si>
    <t>Stack Rank.</t>
  </si>
  <si>
    <t>Market Benchmark</t>
  </si>
  <si>
    <t>TRUE</t>
  </si>
  <si>
    <t>0.15-0.2</t>
  </si>
  <si>
    <t>0.2-0.25</t>
  </si>
  <si>
    <t>0.25-0.3</t>
  </si>
  <si>
    <t>Business Type/Margin.</t>
  </si>
  <si>
    <t>1) Insert weekly data into row 2 of the Insert Data tab.</t>
  </si>
  <si>
    <t>2) Press macro button to generate formatted pivot analytics.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</si>
</sst>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&quot;$&quot;#,##0"/>
    <numFmt numFmtId="167" formatCode="0.0%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pivotButton="1"/>
    <xf numFmtId="0" fontId="0" fillId="0" borderId="1" xfId="0" applyBorder="1" applyAlignment="1">
      <alignment horizontal="left"/>
    </xf>
    <xf numFmtId="166" fontId="0" fillId="0" borderId="1" xfId="0" applyNumberFormat="1" applyBorder="1"/>
    <xf numFmtId="167" fontId="0" fillId="0" borderId="1" xfId="0" applyNumberFormat="1" applyBorder="1"/>
    <xf numFmtId="3" fontId="0" fillId="0" borderId="1" xfId="0" applyNumberFormat="1" applyBorder="1"/>
    <xf numFmtId="0" fontId="0" fillId="3" borderId="0" xfId="0" applyFill="1"/>
    <xf numFmtId="0" fontId="0" fillId="3" borderId="0" xfId="0" applyFill="1" applyAlignment="1">
      <alignment horizontal="left"/>
    </xf>
    <xf numFmtId="166" fontId="0" fillId="3" borderId="0" xfId="0" applyNumberFormat="1" applyFill="1"/>
    <xf numFmtId="167" fontId="0" fillId="3" borderId="0" xfId="0" applyNumberFormat="1" applyFill="1"/>
    <xf numFmtId="3" fontId="0" fillId="3" borderId="0" xfId="0" applyNumberFormat="1" applyFill="1"/>
    <xf numFmtId="0" fontId="1" fillId="3" borderId="0" xfId="0" applyFont="1" applyFill="1" applyAlignment="1">
      <alignment horizontal="center"/>
    </xf>
    <xf numFmtId="0" fontId="0" fillId="0" borderId="1" xfId="0" applyBorder="1" applyAlignment="1">
      <alignment horizontal="left" indent="1"/>
    </xf>
    <xf numFmtId="0" fontId="0" fillId="4" borderId="0" xfId="0" applyFont="1" applyFill="1" applyAlignment="1"/>
    <xf numFmtId="0" fontId="0" fillId="4" borderId="0" xfId="0" applyFill="1"/>
    <xf numFmtId="0" fontId="2" fillId="4" borderId="0" xfId="0" applyFont="1" applyFill="1" applyAlignment="1"/>
  </cellXfs>
  <cellStyles count="1">
    <cellStyle name="Normal" xfId="0" builtinId="0"/>
  </cellStyles>
  <dxfs count="2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1</xdr:row>
      <xdr:rowOff>57150</xdr:rowOff>
    </xdr:from>
    <xdr:to>
      <xdr:col>13</xdr:col>
      <xdr:colOff>371475</xdr:colOff>
      <xdr:row>9</xdr:row>
      <xdr:rowOff>152400</xdr:rowOff>
    </xdr:to>
    <xdr:sp macro="[1]!GeneratePivot" textlink="">
      <xdr:nvSpPr>
        <xdr:cNvPr id="2" name="Oval 1">
          <a:extLst>
            <a:ext uri="{FF2B5EF4-FFF2-40B4-BE49-F238E27FC236}">
              <a16:creationId xmlns:a16="http://schemas.microsoft.com/office/drawing/2014/main" id="{8DB72502-8D56-67E6-32C7-15EB7FD021A3}"/>
            </a:ext>
          </a:extLst>
        </xdr:cNvPr>
        <xdr:cNvSpPr/>
      </xdr:nvSpPr>
      <xdr:spPr>
        <a:xfrm>
          <a:off x="10048875" y="742950"/>
          <a:ext cx="2381250" cy="16192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Generate Pivot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isa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neratePivot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Olivero" refreshedDate="45228.535271180554" createdVersion="8" refreshedVersion="8" minRefreshableVersion="3" recordCount="29" xr:uid="{B986A89F-F1AA-4B06-AC1A-05E5E0CA4FE2}">
  <cacheSource type="worksheet">
    <worksheetSource ref="A1:I1048576" sheet="Insert Data"/>
  </cacheSource>
  <cacheFields count="9">
    <cacheField name="Stack Rank" numFmtId="0">
      <sharedItems containsBlank="1" count="5">
        <s v="Very Bad"/>
        <s v="Bad"/>
        <s v="Good"/>
        <s v="Excellent"/>
        <m/>
      </sharedItems>
    </cacheField>
    <cacheField name="Business Type" numFmtId="0">
      <sharedItems containsBlank="1" count="3">
        <s v="Online"/>
        <s v="Store"/>
        <m/>
      </sharedItems>
    </cacheField>
    <cacheField name="Potential Revenue" numFmtId="0">
      <sharedItems containsString="0" containsBlank="1" containsNumber="1" containsInteger="1" minValue="4800" maxValue="5080357"/>
    </cacheField>
    <cacheField name="Market Rate" numFmtId="0">
      <sharedItems containsString="0" containsBlank="1" containsNumber="1" containsInteger="1" minValue="180" maxValue="6500"/>
    </cacheField>
    <cacheField name="Profit Margin" numFmtId="0">
      <sharedItems containsString="0" containsBlank="1" containsNumber="1" minValue="0.15" maxValue="0.3" count="16">
        <n v="0.2"/>
        <n v="0.25"/>
        <n v="0.3"/>
        <n v="0.28000000000000003"/>
        <n v="0.18"/>
        <n v="0.22"/>
        <n v="0.15"/>
        <n v="0.26"/>
        <n v="0.24"/>
        <n v="0.19"/>
        <n v="0.27"/>
        <n v="0.21"/>
        <n v="0.28999999999999998"/>
        <n v="0.23"/>
        <n v="0.17"/>
        <m/>
      </sharedItems>
      <fieldGroup base="4">
        <rangePr startNum="0.15" endNum="0.3" groupInterval="0.05"/>
        <groupItems count="5">
          <s v="(blank)"/>
          <s v="0.15-0.2"/>
          <s v="0.2-0.25"/>
          <s v="0.25-0.3"/>
          <s v="&gt;0.3"/>
        </groupItems>
      </fieldGroup>
    </cacheField>
    <cacheField name="Expected Conversion" numFmtId="0">
      <sharedItems containsString="0" containsBlank="1" containsNumber="1" minValue="5.0000000000000044E-3" maxValue="0.155"/>
    </cacheField>
    <cacheField name="Quantity Forecasted" numFmtId="0">
      <sharedItems containsString="0" containsBlank="1" containsNumber="1" minValue="7" maxValue="140"/>
    </cacheField>
    <cacheField name="Revenue Forecasted" numFmtId="0">
      <sharedItems containsString="0" containsBlank="1" containsNumber="1" minValue="24.000000000000021" maxValue="1595"/>
    </cacheField>
    <cacheField name="Within Market Rate" numFmtId="0">
      <sharedItems containsBlank="1" count="3">
        <b v="1"/>
        <b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n v="5000"/>
    <n v="6500"/>
    <x v="0"/>
    <n v="5.5000000000000021E-2"/>
    <n v="100"/>
    <n v="275.00000000000011"/>
    <x v="0"/>
  </r>
  <r>
    <x v="1"/>
    <x v="1"/>
    <n v="7500"/>
    <n v="250"/>
    <x v="1"/>
    <n v="0.10500000000000001"/>
    <n v="8"/>
    <n v="787.50000000000011"/>
    <x v="1"/>
  </r>
  <r>
    <x v="2"/>
    <x v="0"/>
    <n v="8000"/>
    <n v="300"/>
    <x v="2"/>
    <n v="0.155"/>
    <n v="12"/>
    <n v="1240"/>
    <x v="0"/>
  </r>
  <r>
    <x v="3"/>
    <x v="1"/>
    <n v="5080357"/>
    <n v="280"/>
    <x v="3"/>
    <n v="0.13500000000000004"/>
    <n v="9"/>
    <n v="1350.0000000000005"/>
    <x v="1"/>
  </r>
  <r>
    <x v="1"/>
    <x v="0"/>
    <n v="6000"/>
    <n v="180"/>
    <x v="4"/>
    <n v="3.5000000000000003E-2"/>
    <n v="15"/>
    <n v="210.00000000000003"/>
    <x v="0"/>
  </r>
  <r>
    <x v="2"/>
    <x v="1"/>
    <n v="8500"/>
    <n v="220"/>
    <x v="5"/>
    <n v="7.5000000000000011E-2"/>
    <n v="7"/>
    <n v="637.50000000000011"/>
    <x v="1"/>
  </r>
  <r>
    <x v="0"/>
    <x v="0"/>
    <n v="4800"/>
    <n v="260"/>
    <x v="6"/>
    <n v="5.0000000000000044E-3"/>
    <n v="9.5"/>
    <n v="24.000000000000021"/>
    <x v="0"/>
  </r>
  <r>
    <x v="3"/>
    <x v="1"/>
    <n v="11000"/>
    <n v="240"/>
    <x v="7"/>
    <n v="0.11500000000000002"/>
    <n v="14"/>
    <n v="1265.0000000000002"/>
    <x v="1"/>
  </r>
  <r>
    <x v="2"/>
    <x v="0"/>
    <n v="7500"/>
    <n v="220"/>
    <x v="8"/>
    <n v="9.5000000000000001E-2"/>
    <n v="11"/>
    <n v="712.5"/>
    <x v="0"/>
  </r>
  <r>
    <x v="0"/>
    <x v="1"/>
    <n v="7200"/>
    <n v="280"/>
    <x v="9"/>
    <n v="4.5000000000000012E-2"/>
    <n v="16"/>
    <n v="324.00000000000011"/>
    <x v="1"/>
  </r>
  <r>
    <x v="2"/>
    <x v="0"/>
    <n v="8200"/>
    <n v="240"/>
    <x v="5"/>
    <n v="7.5000000000000011E-2"/>
    <n v="8.5"/>
    <n v="615.00000000000011"/>
    <x v="0"/>
  </r>
  <r>
    <x v="0"/>
    <x v="1"/>
    <n v="6900"/>
    <n v="250"/>
    <x v="4"/>
    <n v="3.5000000000000003E-2"/>
    <n v="13"/>
    <n v="241.50000000000003"/>
    <x v="1"/>
  </r>
  <r>
    <x v="3"/>
    <x v="0"/>
    <n v="9400"/>
    <n v="270"/>
    <x v="3"/>
    <n v="0.13500000000000004"/>
    <n v="7"/>
    <n v="1269.0000000000005"/>
    <x v="0"/>
  </r>
  <r>
    <x v="1"/>
    <x v="1"/>
    <n v="7700"/>
    <n v="210"/>
    <x v="8"/>
    <n v="9.5000000000000001E-2"/>
    <n v="12"/>
    <n v="731.5"/>
    <x v="1"/>
  </r>
  <r>
    <x v="2"/>
    <x v="0"/>
    <n v="8100"/>
    <n v="290"/>
    <x v="1"/>
    <n v="0.10500000000000001"/>
    <n v="14"/>
    <n v="850.50000000000011"/>
    <x v="0"/>
  </r>
  <r>
    <x v="3"/>
    <x v="1"/>
    <n v="10500"/>
    <n v="230"/>
    <x v="10"/>
    <n v="0.12500000000000003"/>
    <n v="8"/>
    <n v="1312.5000000000002"/>
    <x v="1"/>
  </r>
  <r>
    <x v="1"/>
    <x v="0"/>
    <n v="5900"/>
    <n v="180"/>
    <x v="11"/>
    <n v="6.5000000000000002E-2"/>
    <n v="11"/>
    <n v="383.5"/>
    <x v="0"/>
  </r>
  <r>
    <x v="0"/>
    <x v="1"/>
    <n v="7100"/>
    <n v="300"/>
    <x v="0"/>
    <n v="5.5000000000000021E-2"/>
    <n v="13"/>
    <n v="390.50000000000017"/>
    <x v="1"/>
  </r>
  <r>
    <x v="3"/>
    <x v="0"/>
    <n v="9200"/>
    <n v="220"/>
    <x v="12"/>
    <n v="0.14499999999999999"/>
    <n v="9"/>
    <n v="1334"/>
    <x v="0"/>
  </r>
  <r>
    <x v="2"/>
    <x v="1"/>
    <n v="8000"/>
    <n v="200"/>
    <x v="13"/>
    <n v="8.500000000000002E-2"/>
    <n v="14"/>
    <n v="680.00000000000011"/>
    <x v="1"/>
  </r>
  <r>
    <x v="1"/>
    <x v="0"/>
    <n v="6300"/>
    <n v="260"/>
    <x v="0"/>
    <n v="5.5000000000000021E-2"/>
    <n v="12"/>
    <n v="346.50000000000011"/>
    <x v="0"/>
  </r>
  <r>
    <x v="0"/>
    <x v="1"/>
    <n v="6800"/>
    <n v="290"/>
    <x v="9"/>
    <n v="4.5000000000000012E-2"/>
    <n v="8"/>
    <n v="306.00000000000006"/>
    <x v="1"/>
  </r>
  <r>
    <x v="3"/>
    <x v="0"/>
    <n v="9600"/>
    <n v="300"/>
    <x v="2"/>
    <n v="0.155"/>
    <n v="130"/>
    <n v="1488"/>
    <x v="0"/>
  </r>
  <r>
    <x v="2"/>
    <x v="1"/>
    <n v="8200"/>
    <n v="220"/>
    <x v="5"/>
    <n v="7.5000000000000011E-2"/>
    <n v="90"/>
    <n v="615.00000000000011"/>
    <x v="1"/>
  </r>
  <r>
    <x v="1"/>
    <x v="0"/>
    <n v="6000"/>
    <n v="200"/>
    <x v="4"/>
    <n v="3.5000000000000003E-2"/>
    <n v="140"/>
    <n v="210.00000000000003"/>
    <x v="0"/>
  </r>
  <r>
    <x v="0"/>
    <x v="1"/>
    <n v="6700"/>
    <n v="260"/>
    <x v="14"/>
    <n v="2.5000000000000022E-2"/>
    <n v="75"/>
    <n v="167.50000000000014"/>
    <x v="1"/>
  </r>
  <r>
    <x v="2"/>
    <x v="0"/>
    <n v="8800"/>
    <n v="290"/>
    <x v="7"/>
    <n v="0.11500000000000002"/>
    <n v="120"/>
    <n v="1012.0000000000001"/>
    <x v="0"/>
  </r>
  <r>
    <x v="3"/>
    <x v="1"/>
    <n v="11000"/>
    <n v="290"/>
    <x v="12"/>
    <n v="0.14499999999999999"/>
    <n v="80"/>
    <n v="1595"/>
    <x v="1"/>
  </r>
  <r>
    <x v="4"/>
    <x v="2"/>
    <m/>
    <m/>
    <x v="15"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5F040F-361A-4000-A097-7032D51657E5}" name="PivotTable1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Business Type.">
  <location ref="B3:H6" firstHeaderRow="0" firstDataRow="1" firstDataCol="1"/>
  <pivotFields count="9">
    <pivotField showAll="0"/>
    <pivotField axis="axisRow" showAll="0">
      <items count="4">
        <item x="0"/>
        <item x="1"/>
        <item h="1"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Potential Revenue." fld="2" baseField="1" baseItem="0" numFmtId="166"/>
    <dataField name="Market Rate." fld="3" baseField="1" baseItem="0" numFmtId="166"/>
    <dataField name="Profit Margin." fld="4" subtotal="average" baseField="1" baseItem="0" numFmtId="167"/>
    <dataField name="Expected Conversion." fld="5" subtotal="average" baseField="1" baseItem="0" numFmtId="167"/>
    <dataField name="Quantity Forecasted." fld="6" baseField="1" baseItem="0" numFmtId="3"/>
    <dataField name="Revenue Forecasted." fld="7" baseField="1" baseItem="0" numFmtId="166"/>
  </dataFields>
  <formats count="8">
    <format dxfId="27">
      <pivotArea collapsedLevelsAreSubtotals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BA91DC-1F16-483D-8E0F-597F597CB03A}" name="PivotTable1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tack Rank.">
  <location ref="B3:H8" firstHeaderRow="0" firstDataRow="1" firstDataCol="1"/>
  <pivotFields count="9">
    <pivotField axis="axisRow" showAll="0">
      <items count="6">
        <item x="3"/>
        <item x="2"/>
        <item h="1" x="4"/>
        <item x="1"/>
        <item x="0"/>
        <item t="default"/>
      </items>
    </pivotField>
    <pivotField showAll="0">
      <items count="4">
        <item x="0"/>
        <item x="1"/>
        <item h="1"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0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Potential Revenue." fld="2" baseField="1" baseItem="0" numFmtId="166"/>
    <dataField name="Market Rate." fld="3" baseField="1" baseItem="0" numFmtId="166"/>
    <dataField name="Profit Margin." fld="4" subtotal="average" baseField="1" baseItem="0" numFmtId="167"/>
    <dataField name="Expected Conversion." fld="5" subtotal="average" baseField="1" baseItem="0" numFmtId="167"/>
    <dataField name="Quantity Forecasted." fld="6" baseField="1" baseItem="0" numFmtId="3"/>
    <dataField name="Revenue Forecasted." fld="7" baseField="1" baseItem="0" numFmtId="166"/>
  </dataFields>
  <formats count="9">
    <format dxfId="14">
      <pivotArea field="1" type="button" dataOnly="0" labelOnly="1" outline="0"/>
    </format>
    <format dxfId="1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6">
      <pivotArea field="1" type="button" dataOnly="0" labelOnly="1" outline="0"/>
    </format>
    <format dxfId="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8">
      <pivotArea grandRow="1" outline="0" collapsedLevelsAreSubtotals="1" fieldPosition="0"/>
    </format>
    <format dxfId="19">
      <pivotArea dataOnly="0" labelOnly="1" grandRow="1" outline="0" fieldPosition="0"/>
    </format>
    <format dxfId="13">
      <pivotArea collapsedLevelsAreSubtotals="1" fieldPosition="0">
        <references count="1">
          <reference field="0" count="0"/>
        </references>
      </pivotArea>
    </format>
    <format dxfId="12">
      <pivotArea dataOnly="0" labelOnly="1" fieldPosition="0">
        <references count="1">
          <reference field="0" count="0"/>
        </references>
      </pivotArea>
    </format>
    <format dxfId="11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1334CF-B55E-451B-9A9B-6F993A66AF00}" name="PivotTable1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Business Type/Margin.">
  <location ref="B3:H8" firstHeaderRow="0" firstDataRow="1" firstDataCol="1" rowPageCount="1" colPageCount="1"/>
  <pivotFields count="9">
    <pivotField showAll="0">
      <items count="6">
        <item x="3"/>
        <item x="2"/>
        <item h="1" x="4"/>
        <item x="1"/>
        <item x="0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dataField="1" showAll="0"/>
    <pivotField dataField="1" showAll="0"/>
    <pivotField axis="axisRow" dataField="1" showAll="0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  <pivotField dataField="1" showAll="0"/>
    <pivotField axis="axisPage" showAll="0">
      <items count="4">
        <item x="1"/>
        <item x="0"/>
        <item x="2"/>
        <item t="default"/>
      </items>
    </pivotField>
  </pivotFields>
  <rowFields count="2">
    <field x="1"/>
    <field x="4"/>
  </rowFields>
  <rowItems count="5">
    <i>
      <x/>
    </i>
    <i r="1">
      <x v="1"/>
    </i>
    <i r="1">
      <x v="2"/>
    </i>
    <i r="1"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8" item="1" hier="-1"/>
  </pageFields>
  <dataFields count="6">
    <dataField name="Potential Revenue." fld="2" baseField="1" baseItem="0" numFmtId="166"/>
    <dataField name="Market Rate." fld="3" baseField="1" baseItem="0" numFmtId="166"/>
    <dataField name="Profit Margin." fld="4" subtotal="average" baseField="1" baseItem="0" numFmtId="167"/>
    <dataField name="Expected Conversion." fld="5" subtotal="average" baseField="1" baseItem="0" numFmtId="167"/>
    <dataField name="Quantity Forecasted." fld="6" baseField="1" baseItem="0" numFmtId="3"/>
    <dataField name="Revenue Forecasted." fld="7" baseField="1" baseItem="0" numFmtId="166"/>
  </dataFields>
  <formats count="11">
    <format dxfId="4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">
      <pivotArea grandRow="1" outline="0" collapsedLevelsAreSubtotals="1" fieldPosition="0"/>
    </format>
    <format dxfId="9">
      <pivotArea dataOnly="0" labelOnly="1" grandRow="1" outline="0" fieldPosition="0"/>
    </format>
    <format dxfId="10">
      <pivotArea field="0" type="button" dataOnly="0" labelOnly="1" outline="0"/>
    </format>
    <format dxfId="3">
      <pivotArea collapsedLevelsAreSubtotals="1" fieldPosition="0">
        <references count="1">
          <reference field="1" count="1">
            <x v="0"/>
          </reference>
        </references>
      </pivotArea>
    </format>
    <format dxfId="2">
      <pivotArea collapsedLevelsAreSubtotals="1" fieldPosition="0">
        <references count="2">
          <reference field="1" count="1" selected="0">
            <x v="0"/>
          </reference>
          <reference field="4" count="3">
            <x v="1"/>
            <x v="2"/>
            <x v="3"/>
          </reference>
        </references>
      </pivotArea>
    </format>
    <format dxfId="1">
      <pivotArea dataOnly="0" labelOnly="1" fieldPosition="0">
        <references count="1">
          <reference field="1" count="1">
            <x v="0"/>
          </reference>
        </references>
      </pivotArea>
    </format>
    <format dxfId="0">
      <pivotArea dataOnly="0" labelOnly="1" fieldPosition="0">
        <references count="2">
          <reference field="1" count="1" selected="0">
            <x v="0"/>
          </reference>
          <reference field="4" count="3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E9E85-FC3B-412F-93C3-C079531ABC27}">
  <sheetPr codeName="Sheet1">
    <tabColor theme="0" tint="-0.249977111117893"/>
  </sheetPr>
  <dimension ref="A1:M2"/>
  <sheetViews>
    <sheetView showGridLines="0" tabSelected="1" zoomScale="80" zoomScaleNormal="80" workbookViewId="0"/>
  </sheetViews>
  <sheetFormatPr defaultRowHeight="15" x14ac:dyDescent="0.25"/>
  <cols>
    <col min="1" max="1" width="9.140625" style="15" customWidth="1"/>
    <col min="2" max="16384" width="9.140625" style="15"/>
  </cols>
  <sheetData>
    <row r="1" spans="1:13" ht="18.75" x14ac:dyDescent="0.3">
      <c r="A1" s="16" t="s">
        <v>32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18.75" x14ac:dyDescent="0.3">
      <c r="A2" s="16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47128-5380-4E0A-9D8C-005CEBE6B85A}">
  <sheetPr codeName="Sheet2">
    <tabColor rgb="FFFF0000"/>
  </sheetPr>
  <dimension ref="A1:I29"/>
  <sheetViews>
    <sheetView workbookViewId="0">
      <selection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7.7109375" bestFit="1" customWidth="1"/>
    <col min="4" max="4" width="15" customWidth="1"/>
    <col min="5" max="5" width="12.42578125" bestFit="1" customWidth="1"/>
    <col min="6" max="6" width="17.5703125" bestFit="1" customWidth="1"/>
    <col min="7" max="7" width="19.140625" bestFit="1" customWidth="1"/>
    <col min="8" max="8" width="21.5703125" bestFit="1" customWidth="1"/>
    <col min="9" max="9" width="26.7109375" bestFit="1" customWidth="1"/>
  </cols>
  <sheetData>
    <row r="1" spans="1:9" x14ac:dyDescent="0.25">
      <c r="A1" t="s">
        <v>5</v>
      </c>
      <c r="B1" t="s">
        <v>3</v>
      </c>
      <c r="C1" t="s">
        <v>0</v>
      </c>
      <c r="D1" t="s">
        <v>1</v>
      </c>
      <c r="E1" t="s">
        <v>4</v>
      </c>
      <c r="F1" t="s">
        <v>12</v>
      </c>
      <c r="G1" t="s">
        <v>13</v>
      </c>
      <c r="H1" t="s">
        <v>15</v>
      </c>
      <c r="I1" t="s">
        <v>2</v>
      </c>
    </row>
    <row r="2" spans="1:9" x14ac:dyDescent="0.25">
      <c r="A2" t="s">
        <v>6</v>
      </c>
      <c r="B2" t="s">
        <v>10</v>
      </c>
      <c r="C2">
        <v>5000</v>
      </c>
      <c r="D2">
        <v>6500</v>
      </c>
      <c r="E2">
        <v>0.2</v>
      </c>
      <c r="F2">
        <f>E2-0.145</f>
        <v>5.5000000000000021E-2</v>
      </c>
      <c r="G2">
        <v>100</v>
      </c>
      <c r="H2">
        <f>C2*F2</f>
        <v>275.00000000000011</v>
      </c>
      <c r="I2" t="b">
        <v>1</v>
      </c>
    </row>
    <row r="3" spans="1:9" x14ac:dyDescent="0.25">
      <c r="A3" t="s">
        <v>7</v>
      </c>
      <c r="B3" t="s">
        <v>11</v>
      </c>
      <c r="C3">
        <v>7500</v>
      </c>
      <c r="D3">
        <v>250</v>
      </c>
      <c r="E3">
        <v>0.25</v>
      </c>
      <c r="F3">
        <f>E3-0.145</f>
        <v>0.10500000000000001</v>
      </c>
      <c r="G3">
        <v>8</v>
      </c>
      <c r="H3">
        <f>C3*F3</f>
        <v>787.50000000000011</v>
      </c>
      <c r="I3" t="b">
        <v>0</v>
      </c>
    </row>
    <row r="4" spans="1:9" x14ac:dyDescent="0.25">
      <c r="A4" t="s">
        <v>8</v>
      </c>
      <c r="B4" t="s">
        <v>10</v>
      </c>
      <c r="C4">
        <v>8000</v>
      </c>
      <c r="D4">
        <v>300</v>
      </c>
      <c r="E4">
        <v>0.3</v>
      </c>
      <c r="F4">
        <f t="shared" ref="F4:F29" si="0">E4-0.145</f>
        <v>0.155</v>
      </c>
      <c r="G4">
        <v>12</v>
      </c>
      <c r="H4">
        <f t="shared" ref="H4:H29" si="1">C4*F4</f>
        <v>1240</v>
      </c>
      <c r="I4" t="b">
        <v>1</v>
      </c>
    </row>
    <row r="5" spans="1:9" x14ac:dyDescent="0.25">
      <c r="A5" t="s">
        <v>9</v>
      </c>
      <c r="B5" t="s">
        <v>11</v>
      </c>
      <c r="C5">
        <v>10000</v>
      </c>
      <c r="D5">
        <v>280</v>
      </c>
      <c r="E5">
        <v>0.28000000000000003</v>
      </c>
      <c r="F5">
        <f t="shared" si="0"/>
        <v>0.13500000000000004</v>
      </c>
      <c r="G5">
        <v>9</v>
      </c>
      <c r="H5">
        <f t="shared" si="1"/>
        <v>1350.0000000000005</v>
      </c>
      <c r="I5" t="b">
        <v>0</v>
      </c>
    </row>
    <row r="6" spans="1:9" x14ac:dyDescent="0.25">
      <c r="A6" t="s">
        <v>7</v>
      </c>
      <c r="B6" t="s">
        <v>10</v>
      </c>
      <c r="C6">
        <v>6000</v>
      </c>
      <c r="D6">
        <v>180</v>
      </c>
      <c r="E6">
        <v>0.18</v>
      </c>
      <c r="F6">
        <f t="shared" si="0"/>
        <v>3.5000000000000003E-2</v>
      </c>
      <c r="G6">
        <v>15</v>
      </c>
      <c r="H6">
        <f t="shared" si="1"/>
        <v>210.00000000000003</v>
      </c>
      <c r="I6" t="b">
        <v>1</v>
      </c>
    </row>
    <row r="7" spans="1:9" x14ac:dyDescent="0.25">
      <c r="A7" t="s">
        <v>8</v>
      </c>
      <c r="B7" t="s">
        <v>11</v>
      </c>
      <c r="C7">
        <v>8500</v>
      </c>
      <c r="D7">
        <v>220</v>
      </c>
      <c r="E7">
        <v>0.22</v>
      </c>
      <c r="F7">
        <f t="shared" si="0"/>
        <v>7.5000000000000011E-2</v>
      </c>
      <c r="G7">
        <v>7</v>
      </c>
      <c r="H7">
        <f t="shared" si="1"/>
        <v>637.50000000000011</v>
      </c>
      <c r="I7" t="b">
        <v>0</v>
      </c>
    </row>
    <row r="8" spans="1:9" x14ac:dyDescent="0.25">
      <c r="A8" t="s">
        <v>6</v>
      </c>
      <c r="B8" t="s">
        <v>10</v>
      </c>
      <c r="C8">
        <v>4800</v>
      </c>
      <c r="D8">
        <v>260</v>
      </c>
      <c r="E8">
        <v>0.15</v>
      </c>
      <c r="F8">
        <f t="shared" si="0"/>
        <v>5.0000000000000044E-3</v>
      </c>
      <c r="G8">
        <v>9.5</v>
      </c>
      <c r="H8">
        <f t="shared" si="1"/>
        <v>24.000000000000021</v>
      </c>
      <c r="I8" t="b">
        <v>1</v>
      </c>
    </row>
    <row r="9" spans="1:9" x14ac:dyDescent="0.25">
      <c r="A9" t="s">
        <v>9</v>
      </c>
      <c r="B9" t="s">
        <v>11</v>
      </c>
      <c r="C9">
        <v>11000</v>
      </c>
      <c r="D9">
        <v>240</v>
      </c>
      <c r="E9">
        <v>0.26</v>
      </c>
      <c r="F9">
        <f t="shared" si="0"/>
        <v>0.11500000000000002</v>
      </c>
      <c r="G9">
        <v>14</v>
      </c>
      <c r="H9">
        <f t="shared" si="1"/>
        <v>1265.0000000000002</v>
      </c>
      <c r="I9" t="b">
        <v>0</v>
      </c>
    </row>
    <row r="10" spans="1:9" x14ac:dyDescent="0.25">
      <c r="A10" t="s">
        <v>8</v>
      </c>
      <c r="B10" t="s">
        <v>10</v>
      </c>
      <c r="C10">
        <v>7500</v>
      </c>
      <c r="D10">
        <v>220</v>
      </c>
      <c r="E10">
        <v>0.24</v>
      </c>
      <c r="F10">
        <f t="shared" si="0"/>
        <v>9.5000000000000001E-2</v>
      </c>
      <c r="G10">
        <v>11</v>
      </c>
      <c r="H10">
        <f t="shared" si="1"/>
        <v>712.5</v>
      </c>
      <c r="I10" t="b">
        <v>1</v>
      </c>
    </row>
    <row r="11" spans="1:9" x14ac:dyDescent="0.25">
      <c r="A11" t="s">
        <v>6</v>
      </c>
      <c r="B11" t="s">
        <v>11</v>
      </c>
      <c r="C11">
        <v>7200</v>
      </c>
      <c r="D11">
        <v>280</v>
      </c>
      <c r="E11">
        <v>0.19</v>
      </c>
      <c r="F11">
        <f t="shared" si="0"/>
        <v>4.5000000000000012E-2</v>
      </c>
      <c r="G11">
        <v>16</v>
      </c>
      <c r="H11">
        <f t="shared" si="1"/>
        <v>324.00000000000011</v>
      </c>
      <c r="I11" t="b">
        <v>0</v>
      </c>
    </row>
    <row r="12" spans="1:9" x14ac:dyDescent="0.25">
      <c r="A12" t="s">
        <v>8</v>
      </c>
      <c r="B12" t="s">
        <v>10</v>
      </c>
      <c r="C12">
        <v>8200</v>
      </c>
      <c r="D12">
        <v>240</v>
      </c>
      <c r="E12">
        <v>0.22</v>
      </c>
      <c r="F12">
        <f t="shared" si="0"/>
        <v>7.5000000000000011E-2</v>
      </c>
      <c r="G12">
        <v>8.5</v>
      </c>
      <c r="H12">
        <f t="shared" si="1"/>
        <v>615.00000000000011</v>
      </c>
      <c r="I12" t="b">
        <v>1</v>
      </c>
    </row>
    <row r="13" spans="1:9" x14ac:dyDescent="0.25">
      <c r="A13" t="s">
        <v>6</v>
      </c>
      <c r="B13" t="s">
        <v>11</v>
      </c>
      <c r="C13">
        <v>6900</v>
      </c>
      <c r="D13">
        <v>250</v>
      </c>
      <c r="E13">
        <v>0.18</v>
      </c>
      <c r="F13">
        <f t="shared" si="0"/>
        <v>3.5000000000000003E-2</v>
      </c>
      <c r="G13">
        <v>13</v>
      </c>
      <c r="H13">
        <f t="shared" si="1"/>
        <v>241.50000000000003</v>
      </c>
      <c r="I13" t="b">
        <v>0</v>
      </c>
    </row>
    <row r="14" spans="1:9" x14ac:dyDescent="0.25">
      <c r="A14" t="s">
        <v>9</v>
      </c>
      <c r="B14" t="s">
        <v>10</v>
      </c>
      <c r="C14">
        <v>9400</v>
      </c>
      <c r="D14">
        <v>270</v>
      </c>
      <c r="E14">
        <v>0.28000000000000003</v>
      </c>
      <c r="F14">
        <f t="shared" si="0"/>
        <v>0.13500000000000004</v>
      </c>
      <c r="G14">
        <v>7</v>
      </c>
      <c r="H14">
        <f t="shared" si="1"/>
        <v>1269.0000000000005</v>
      </c>
      <c r="I14" t="b">
        <v>1</v>
      </c>
    </row>
    <row r="15" spans="1:9" x14ac:dyDescent="0.25">
      <c r="A15" t="s">
        <v>7</v>
      </c>
      <c r="B15" t="s">
        <v>11</v>
      </c>
      <c r="C15">
        <v>7700</v>
      </c>
      <c r="D15">
        <v>210</v>
      </c>
      <c r="E15">
        <v>0.24</v>
      </c>
      <c r="F15">
        <f t="shared" si="0"/>
        <v>9.5000000000000001E-2</v>
      </c>
      <c r="G15">
        <v>12</v>
      </c>
      <c r="H15">
        <f t="shared" si="1"/>
        <v>731.5</v>
      </c>
      <c r="I15" t="b">
        <v>0</v>
      </c>
    </row>
    <row r="16" spans="1:9" x14ac:dyDescent="0.25">
      <c r="A16" t="s">
        <v>8</v>
      </c>
      <c r="B16" t="s">
        <v>10</v>
      </c>
      <c r="C16">
        <v>8100</v>
      </c>
      <c r="D16">
        <v>290</v>
      </c>
      <c r="E16">
        <v>0.25</v>
      </c>
      <c r="F16">
        <f t="shared" si="0"/>
        <v>0.10500000000000001</v>
      </c>
      <c r="G16">
        <v>14</v>
      </c>
      <c r="H16">
        <f t="shared" si="1"/>
        <v>850.50000000000011</v>
      </c>
      <c r="I16" t="b">
        <v>1</v>
      </c>
    </row>
    <row r="17" spans="1:9" x14ac:dyDescent="0.25">
      <c r="A17" t="s">
        <v>9</v>
      </c>
      <c r="B17" t="s">
        <v>11</v>
      </c>
      <c r="C17">
        <v>10500</v>
      </c>
      <c r="D17">
        <v>230</v>
      </c>
      <c r="E17">
        <v>0.27</v>
      </c>
      <c r="F17">
        <f t="shared" si="0"/>
        <v>0.12500000000000003</v>
      </c>
      <c r="G17">
        <v>8</v>
      </c>
      <c r="H17">
        <f t="shared" si="1"/>
        <v>1312.5000000000002</v>
      </c>
      <c r="I17" t="b">
        <v>0</v>
      </c>
    </row>
    <row r="18" spans="1:9" x14ac:dyDescent="0.25">
      <c r="A18" t="s">
        <v>7</v>
      </c>
      <c r="B18" t="s">
        <v>10</v>
      </c>
      <c r="C18">
        <v>5900</v>
      </c>
      <c r="D18">
        <v>180</v>
      </c>
      <c r="E18">
        <v>0.21</v>
      </c>
      <c r="F18">
        <f t="shared" si="0"/>
        <v>6.5000000000000002E-2</v>
      </c>
      <c r="G18">
        <v>11</v>
      </c>
      <c r="H18">
        <f t="shared" si="1"/>
        <v>383.5</v>
      </c>
      <c r="I18" t="b">
        <v>1</v>
      </c>
    </row>
    <row r="19" spans="1:9" x14ac:dyDescent="0.25">
      <c r="A19" t="s">
        <v>6</v>
      </c>
      <c r="B19" t="s">
        <v>11</v>
      </c>
      <c r="C19">
        <v>7100</v>
      </c>
      <c r="D19">
        <v>300</v>
      </c>
      <c r="E19">
        <v>0.2</v>
      </c>
      <c r="F19">
        <f t="shared" si="0"/>
        <v>5.5000000000000021E-2</v>
      </c>
      <c r="G19">
        <v>13</v>
      </c>
      <c r="H19">
        <f t="shared" si="1"/>
        <v>390.50000000000017</v>
      </c>
      <c r="I19" t="b">
        <v>0</v>
      </c>
    </row>
    <row r="20" spans="1:9" x14ac:dyDescent="0.25">
      <c r="A20" t="s">
        <v>9</v>
      </c>
      <c r="B20" t="s">
        <v>10</v>
      </c>
      <c r="C20">
        <v>9200</v>
      </c>
      <c r="D20">
        <v>220</v>
      </c>
      <c r="E20">
        <v>0.28999999999999998</v>
      </c>
      <c r="F20">
        <f t="shared" si="0"/>
        <v>0.14499999999999999</v>
      </c>
      <c r="G20">
        <v>9</v>
      </c>
      <c r="H20">
        <f t="shared" si="1"/>
        <v>1334</v>
      </c>
      <c r="I20" t="b">
        <v>1</v>
      </c>
    </row>
    <row r="21" spans="1:9" x14ac:dyDescent="0.25">
      <c r="A21" t="s">
        <v>8</v>
      </c>
      <c r="B21" t="s">
        <v>11</v>
      </c>
      <c r="C21">
        <v>8000</v>
      </c>
      <c r="D21">
        <v>200</v>
      </c>
      <c r="E21">
        <v>0.23</v>
      </c>
      <c r="F21">
        <f t="shared" si="0"/>
        <v>8.500000000000002E-2</v>
      </c>
      <c r="G21">
        <v>14</v>
      </c>
      <c r="H21">
        <f t="shared" si="1"/>
        <v>680.00000000000011</v>
      </c>
      <c r="I21" t="b">
        <v>0</v>
      </c>
    </row>
    <row r="22" spans="1:9" x14ac:dyDescent="0.25">
      <c r="A22" t="s">
        <v>7</v>
      </c>
      <c r="B22" t="s">
        <v>10</v>
      </c>
      <c r="C22">
        <v>6300</v>
      </c>
      <c r="D22">
        <v>260</v>
      </c>
      <c r="E22">
        <v>0.2</v>
      </c>
      <c r="F22">
        <f t="shared" si="0"/>
        <v>5.5000000000000021E-2</v>
      </c>
      <c r="G22">
        <v>12</v>
      </c>
      <c r="H22">
        <f t="shared" si="1"/>
        <v>346.50000000000011</v>
      </c>
      <c r="I22" t="b">
        <v>1</v>
      </c>
    </row>
    <row r="23" spans="1:9" x14ac:dyDescent="0.25">
      <c r="A23" t="s">
        <v>6</v>
      </c>
      <c r="B23" t="s">
        <v>11</v>
      </c>
      <c r="C23">
        <v>6800</v>
      </c>
      <c r="D23">
        <v>290</v>
      </c>
      <c r="E23">
        <v>0.19</v>
      </c>
      <c r="F23">
        <f t="shared" si="0"/>
        <v>4.5000000000000012E-2</v>
      </c>
      <c r="G23">
        <v>8</v>
      </c>
      <c r="H23">
        <f t="shared" si="1"/>
        <v>306.00000000000006</v>
      </c>
      <c r="I23" t="b">
        <v>0</v>
      </c>
    </row>
    <row r="24" spans="1:9" x14ac:dyDescent="0.25">
      <c r="A24" t="s">
        <v>9</v>
      </c>
      <c r="B24" t="s">
        <v>10</v>
      </c>
      <c r="C24">
        <v>9600</v>
      </c>
      <c r="D24">
        <v>300</v>
      </c>
      <c r="E24">
        <v>0.3</v>
      </c>
      <c r="F24">
        <f t="shared" si="0"/>
        <v>0.155</v>
      </c>
      <c r="G24">
        <v>130</v>
      </c>
      <c r="H24">
        <f t="shared" si="1"/>
        <v>1488</v>
      </c>
      <c r="I24" t="b">
        <v>1</v>
      </c>
    </row>
    <row r="25" spans="1:9" x14ac:dyDescent="0.25">
      <c r="A25" t="s">
        <v>8</v>
      </c>
      <c r="B25" t="s">
        <v>11</v>
      </c>
      <c r="C25">
        <v>8200</v>
      </c>
      <c r="D25">
        <v>220</v>
      </c>
      <c r="E25">
        <v>0.22</v>
      </c>
      <c r="F25">
        <f t="shared" si="0"/>
        <v>7.5000000000000011E-2</v>
      </c>
      <c r="G25">
        <v>90</v>
      </c>
      <c r="H25">
        <f t="shared" si="1"/>
        <v>615.00000000000011</v>
      </c>
      <c r="I25" t="b">
        <v>0</v>
      </c>
    </row>
    <row r="26" spans="1:9" x14ac:dyDescent="0.25">
      <c r="A26" t="s">
        <v>7</v>
      </c>
      <c r="B26" t="s">
        <v>10</v>
      </c>
      <c r="C26">
        <v>6000</v>
      </c>
      <c r="D26">
        <v>200</v>
      </c>
      <c r="E26">
        <v>0.18</v>
      </c>
      <c r="F26">
        <f t="shared" si="0"/>
        <v>3.5000000000000003E-2</v>
      </c>
      <c r="G26">
        <v>140</v>
      </c>
      <c r="H26">
        <f t="shared" si="1"/>
        <v>210.00000000000003</v>
      </c>
      <c r="I26" t="b">
        <v>1</v>
      </c>
    </row>
    <row r="27" spans="1:9" x14ac:dyDescent="0.25">
      <c r="A27" t="s">
        <v>6</v>
      </c>
      <c r="B27" t="s">
        <v>11</v>
      </c>
      <c r="C27">
        <v>6700</v>
      </c>
      <c r="D27">
        <v>260</v>
      </c>
      <c r="E27">
        <v>0.17</v>
      </c>
      <c r="F27">
        <f t="shared" si="0"/>
        <v>2.5000000000000022E-2</v>
      </c>
      <c r="G27">
        <v>75</v>
      </c>
      <c r="H27">
        <f t="shared" si="1"/>
        <v>167.50000000000014</v>
      </c>
      <c r="I27" t="b">
        <v>0</v>
      </c>
    </row>
    <row r="28" spans="1:9" x14ac:dyDescent="0.25">
      <c r="A28" t="s">
        <v>8</v>
      </c>
      <c r="B28" t="s">
        <v>10</v>
      </c>
      <c r="C28">
        <v>8800</v>
      </c>
      <c r="D28">
        <v>290</v>
      </c>
      <c r="E28">
        <v>0.26</v>
      </c>
      <c r="F28">
        <f t="shared" si="0"/>
        <v>0.11500000000000002</v>
      </c>
      <c r="G28">
        <v>120</v>
      </c>
      <c r="H28">
        <f t="shared" si="1"/>
        <v>1012.0000000000001</v>
      </c>
      <c r="I28" t="b">
        <v>1</v>
      </c>
    </row>
    <row r="29" spans="1:9" x14ac:dyDescent="0.25">
      <c r="A29" t="s">
        <v>9</v>
      </c>
      <c r="B29" t="s">
        <v>11</v>
      </c>
      <c r="C29">
        <v>11000</v>
      </c>
      <c r="D29">
        <v>290</v>
      </c>
      <c r="E29">
        <v>0.28999999999999998</v>
      </c>
      <c r="F29">
        <f t="shared" si="0"/>
        <v>0.14499999999999999</v>
      </c>
      <c r="G29">
        <v>80</v>
      </c>
      <c r="H29">
        <f t="shared" si="1"/>
        <v>1595</v>
      </c>
      <c r="I29" t="b">
        <v>0</v>
      </c>
    </row>
  </sheetData>
  <autoFilter ref="A1:I1" xr:uid="{6FB47128-5380-4E0A-9D8C-005CEBE6B85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A99D5-C258-44C5-AF0F-9464B0439ECA}">
  <sheetPr codeName="Sheet5">
    <tabColor theme="9" tint="0.39997558519241921"/>
  </sheetPr>
  <dimension ref="A1:I29"/>
  <sheetViews>
    <sheetView workbookViewId="0"/>
  </sheetViews>
  <sheetFormatPr defaultRowHeight="15" x14ac:dyDescent="0.25"/>
  <cols>
    <col min="1" max="1" width="16.42578125" bestFit="1" customWidth="1"/>
    <col min="2" max="2" width="16.42578125" customWidth="1"/>
    <col min="3" max="3" width="17.7109375" bestFit="1" customWidth="1"/>
    <col min="4" max="4" width="11.7109375" bestFit="1" customWidth="1"/>
    <col min="5" max="5" width="12.5703125" bestFit="1" customWidth="1"/>
    <col min="6" max="6" width="12.5703125" customWidth="1"/>
    <col min="7" max="7" width="19.140625" bestFit="1" customWidth="1"/>
    <col min="8" max="8" width="19.28515625" bestFit="1" customWidth="1"/>
    <col min="9" max="9" width="18.42578125" bestFit="1" customWidth="1"/>
  </cols>
  <sheetData>
    <row r="1" spans="1:9" ht="54" customHeight="1" x14ac:dyDescent="0.25">
      <c r="A1" s="1" t="s">
        <v>5</v>
      </c>
      <c r="B1" s="1" t="s">
        <v>3</v>
      </c>
      <c r="C1" s="1" t="s">
        <v>0</v>
      </c>
      <c r="D1" s="1" t="s">
        <v>1</v>
      </c>
      <c r="E1" s="1" t="s">
        <v>4</v>
      </c>
      <c r="F1" s="1" t="s">
        <v>12</v>
      </c>
      <c r="G1" s="1" t="s">
        <v>13</v>
      </c>
      <c r="H1" s="1" t="s">
        <v>14</v>
      </c>
      <c r="I1" s="1" t="s">
        <v>2</v>
      </c>
    </row>
    <row r="2" spans="1:9" x14ac:dyDescent="0.25">
      <c r="A2" t="s">
        <v>6</v>
      </c>
      <c r="B2" t="s">
        <v>10</v>
      </c>
      <c r="C2">
        <v>5000</v>
      </c>
      <c r="D2">
        <v>6500</v>
      </c>
      <c r="E2">
        <v>0.2</v>
      </c>
      <c r="F2">
        <v>5.5000000000000021E-2</v>
      </c>
      <c r="G2">
        <v>100</v>
      </c>
      <c r="H2">
        <v>275.00000000000011</v>
      </c>
      <c r="I2" t="b">
        <v>1</v>
      </c>
    </row>
    <row r="3" spans="1:9" x14ac:dyDescent="0.25">
      <c r="A3" t="s">
        <v>7</v>
      </c>
      <c r="B3" t="s">
        <v>11</v>
      </c>
      <c r="C3">
        <v>7500</v>
      </c>
      <c r="D3">
        <v>250</v>
      </c>
      <c r="E3">
        <v>0.25</v>
      </c>
      <c r="F3">
        <v>0.10500000000000001</v>
      </c>
      <c r="G3">
        <v>8</v>
      </c>
      <c r="H3">
        <v>787.50000000000011</v>
      </c>
      <c r="I3" t="b">
        <v>0</v>
      </c>
    </row>
    <row r="4" spans="1:9" x14ac:dyDescent="0.25">
      <c r="A4" t="s">
        <v>8</v>
      </c>
      <c r="B4" t="s">
        <v>10</v>
      </c>
      <c r="C4">
        <v>8000</v>
      </c>
      <c r="D4">
        <v>300</v>
      </c>
      <c r="E4">
        <v>0.3</v>
      </c>
      <c r="F4">
        <v>0.155</v>
      </c>
      <c r="G4">
        <v>12</v>
      </c>
      <c r="H4">
        <v>1240</v>
      </c>
      <c r="I4" t="b">
        <v>1</v>
      </c>
    </row>
    <row r="5" spans="1:9" x14ac:dyDescent="0.25">
      <c r="A5" t="s">
        <v>9</v>
      </c>
      <c r="B5" t="s">
        <v>11</v>
      </c>
      <c r="C5">
        <v>5080357</v>
      </c>
      <c r="D5">
        <v>280</v>
      </c>
      <c r="E5">
        <v>0.28000000000000003</v>
      </c>
      <c r="F5">
        <v>0.13500000000000004</v>
      </c>
      <c r="G5">
        <v>9</v>
      </c>
      <c r="H5">
        <v>1350.0000000000005</v>
      </c>
      <c r="I5" t="b">
        <v>0</v>
      </c>
    </row>
    <row r="6" spans="1:9" x14ac:dyDescent="0.25">
      <c r="A6" t="s">
        <v>7</v>
      </c>
      <c r="B6" t="s">
        <v>10</v>
      </c>
      <c r="C6">
        <v>6000</v>
      </c>
      <c r="D6">
        <v>180</v>
      </c>
      <c r="E6">
        <v>0.18</v>
      </c>
      <c r="F6">
        <v>3.5000000000000003E-2</v>
      </c>
      <c r="G6">
        <v>15</v>
      </c>
      <c r="H6">
        <v>210.00000000000003</v>
      </c>
      <c r="I6" t="b">
        <v>1</v>
      </c>
    </row>
    <row r="7" spans="1:9" x14ac:dyDescent="0.25">
      <c r="A7" t="s">
        <v>8</v>
      </c>
      <c r="B7" t="s">
        <v>11</v>
      </c>
      <c r="C7">
        <v>8500</v>
      </c>
      <c r="D7">
        <v>220</v>
      </c>
      <c r="E7">
        <v>0.22</v>
      </c>
      <c r="F7">
        <v>7.5000000000000011E-2</v>
      </c>
      <c r="G7">
        <v>7</v>
      </c>
      <c r="H7">
        <v>637.50000000000011</v>
      </c>
      <c r="I7" t="b">
        <v>0</v>
      </c>
    </row>
    <row r="8" spans="1:9" x14ac:dyDescent="0.25">
      <c r="A8" t="s">
        <v>6</v>
      </c>
      <c r="B8" t="s">
        <v>10</v>
      </c>
      <c r="C8">
        <v>4800</v>
      </c>
      <c r="D8">
        <v>260</v>
      </c>
      <c r="E8">
        <v>0.15</v>
      </c>
      <c r="F8">
        <v>5.0000000000000044E-3</v>
      </c>
      <c r="G8">
        <v>9.5</v>
      </c>
      <c r="H8">
        <v>24.000000000000021</v>
      </c>
      <c r="I8" t="b">
        <v>1</v>
      </c>
    </row>
    <row r="9" spans="1:9" x14ac:dyDescent="0.25">
      <c r="A9" t="s">
        <v>9</v>
      </c>
      <c r="B9" t="s">
        <v>11</v>
      </c>
      <c r="C9">
        <v>11000</v>
      </c>
      <c r="D9">
        <v>240</v>
      </c>
      <c r="E9">
        <v>0.26</v>
      </c>
      <c r="F9">
        <v>0.11500000000000002</v>
      </c>
      <c r="G9">
        <v>14</v>
      </c>
      <c r="H9">
        <v>1265.0000000000002</v>
      </c>
      <c r="I9" t="b">
        <v>0</v>
      </c>
    </row>
    <row r="10" spans="1:9" x14ac:dyDescent="0.25">
      <c r="A10" t="s">
        <v>8</v>
      </c>
      <c r="B10" t="s">
        <v>10</v>
      </c>
      <c r="C10">
        <v>7500</v>
      </c>
      <c r="D10">
        <v>220</v>
      </c>
      <c r="E10">
        <v>0.24</v>
      </c>
      <c r="F10">
        <v>9.5000000000000001E-2</v>
      </c>
      <c r="G10">
        <v>11</v>
      </c>
      <c r="H10">
        <v>712.5</v>
      </c>
      <c r="I10" t="b">
        <v>1</v>
      </c>
    </row>
    <row r="11" spans="1:9" x14ac:dyDescent="0.25">
      <c r="A11" t="s">
        <v>6</v>
      </c>
      <c r="B11" t="s">
        <v>11</v>
      </c>
      <c r="C11">
        <v>7200</v>
      </c>
      <c r="D11">
        <v>280</v>
      </c>
      <c r="E11">
        <v>0.19</v>
      </c>
      <c r="F11">
        <v>4.5000000000000012E-2</v>
      </c>
      <c r="G11">
        <v>16</v>
      </c>
      <c r="H11">
        <v>324.00000000000011</v>
      </c>
      <c r="I11" t="b">
        <v>0</v>
      </c>
    </row>
    <row r="12" spans="1:9" x14ac:dyDescent="0.25">
      <c r="A12" t="s">
        <v>8</v>
      </c>
      <c r="B12" t="s">
        <v>10</v>
      </c>
      <c r="C12">
        <v>8200</v>
      </c>
      <c r="D12">
        <v>240</v>
      </c>
      <c r="E12">
        <v>0.22</v>
      </c>
      <c r="F12">
        <v>7.5000000000000011E-2</v>
      </c>
      <c r="G12">
        <v>8.5</v>
      </c>
      <c r="H12">
        <v>615.00000000000011</v>
      </c>
      <c r="I12" t="b">
        <v>1</v>
      </c>
    </row>
    <row r="13" spans="1:9" x14ac:dyDescent="0.25">
      <c r="A13" t="s">
        <v>6</v>
      </c>
      <c r="B13" t="s">
        <v>11</v>
      </c>
      <c r="C13">
        <v>6900</v>
      </c>
      <c r="D13">
        <v>250</v>
      </c>
      <c r="E13">
        <v>0.18</v>
      </c>
      <c r="F13">
        <v>3.5000000000000003E-2</v>
      </c>
      <c r="G13">
        <v>13</v>
      </c>
      <c r="H13">
        <v>241.50000000000003</v>
      </c>
      <c r="I13" t="b">
        <v>0</v>
      </c>
    </row>
    <row r="14" spans="1:9" x14ac:dyDescent="0.25">
      <c r="A14" t="s">
        <v>9</v>
      </c>
      <c r="B14" t="s">
        <v>10</v>
      </c>
      <c r="C14">
        <v>9400</v>
      </c>
      <c r="D14">
        <v>270</v>
      </c>
      <c r="E14">
        <v>0.28000000000000003</v>
      </c>
      <c r="F14">
        <v>0.13500000000000004</v>
      </c>
      <c r="G14">
        <v>7</v>
      </c>
      <c r="H14">
        <v>1269.0000000000005</v>
      </c>
      <c r="I14" t="b">
        <v>1</v>
      </c>
    </row>
    <row r="15" spans="1:9" x14ac:dyDescent="0.25">
      <c r="A15" t="s">
        <v>7</v>
      </c>
      <c r="B15" t="s">
        <v>11</v>
      </c>
      <c r="C15">
        <v>7700</v>
      </c>
      <c r="D15">
        <v>210</v>
      </c>
      <c r="E15">
        <v>0.24</v>
      </c>
      <c r="F15">
        <v>9.5000000000000001E-2</v>
      </c>
      <c r="G15">
        <v>12</v>
      </c>
      <c r="H15">
        <v>731.5</v>
      </c>
      <c r="I15" t="b">
        <v>0</v>
      </c>
    </row>
    <row r="16" spans="1:9" x14ac:dyDescent="0.25">
      <c r="A16" t="s">
        <v>8</v>
      </c>
      <c r="B16" t="s">
        <v>10</v>
      </c>
      <c r="C16">
        <v>8100</v>
      </c>
      <c r="D16">
        <v>290</v>
      </c>
      <c r="E16">
        <v>0.25</v>
      </c>
      <c r="F16">
        <v>0.10500000000000001</v>
      </c>
      <c r="G16">
        <v>14</v>
      </c>
      <c r="H16">
        <v>850.50000000000011</v>
      </c>
      <c r="I16" t="b">
        <v>1</v>
      </c>
    </row>
    <row r="17" spans="1:9" x14ac:dyDescent="0.25">
      <c r="A17" t="s">
        <v>9</v>
      </c>
      <c r="B17" t="s">
        <v>11</v>
      </c>
      <c r="C17">
        <v>10500</v>
      </c>
      <c r="D17">
        <v>230</v>
      </c>
      <c r="E17">
        <v>0.27</v>
      </c>
      <c r="F17">
        <v>0.12500000000000003</v>
      </c>
      <c r="G17">
        <v>8</v>
      </c>
      <c r="H17">
        <v>1312.5000000000002</v>
      </c>
      <c r="I17" t="b">
        <v>0</v>
      </c>
    </row>
    <row r="18" spans="1:9" x14ac:dyDescent="0.25">
      <c r="A18" t="s">
        <v>7</v>
      </c>
      <c r="B18" t="s">
        <v>10</v>
      </c>
      <c r="C18">
        <v>5900</v>
      </c>
      <c r="D18">
        <v>180</v>
      </c>
      <c r="E18">
        <v>0.21</v>
      </c>
      <c r="F18">
        <v>6.5000000000000002E-2</v>
      </c>
      <c r="G18">
        <v>11</v>
      </c>
      <c r="H18">
        <v>383.5</v>
      </c>
      <c r="I18" t="b">
        <v>1</v>
      </c>
    </row>
    <row r="19" spans="1:9" x14ac:dyDescent="0.25">
      <c r="A19" t="s">
        <v>6</v>
      </c>
      <c r="B19" t="s">
        <v>11</v>
      </c>
      <c r="C19">
        <v>7100</v>
      </c>
      <c r="D19">
        <v>300</v>
      </c>
      <c r="E19">
        <v>0.2</v>
      </c>
      <c r="F19">
        <v>5.5000000000000021E-2</v>
      </c>
      <c r="G19">
        <v>13</v>
      </c>
      <c r="H19">
        <v>390.50000000000017</v>
      </c>
      <c r="I19" t="b">
        <v>0</v>
      </c>
    </row>
    <row r="20" spans="1:9" x14ac:dyDescent="0.25">
      <c r="A20" t="s">
        <v>9</v>
      </c>
      <c r="B20" t="s">
        <v>10</v>
      </c>
      <c r="C20">
        <v>9200</v>
      </c>
      <c r="D20">
        <v>220</v>
      </c>
      <c r="E20">
        <v>0.28999999999999998</v>
      </c>
      <c r="F20">
        <v>0.14499999999999999</v>
      </c>
      <c r="G20">
        <v>9</v>
      </c>
      <c r="H20">
        <v>1334</v>
      </c>
      <c r="I20" t="b">
        <v>1</v>
      </c>
    </row>
    <row r="21" spans="1:9" x14ac:dyDescent="0.25">
      <c r="A21" t="s">
        <v>8</v>
      </c>
      <c r="B21" t="s">
        <v>11</v>
      </c>
      <c r="C21">
        <v>8000</v>
      </c>
      <c r="D21">
        <v>200</v>
      </c>
      <c r="E21">
        <v>0.23</v>
      </c>
      <c r="F21">
        <v>8.500000000000002E-2</v>
      </c>
      <c r="G21">
        <v>14</v>
      </c>
      <c r="H21">
        <v>680.00000000000011</v>
      </c>
      <c r="I21" t="b">
        <v>0</v>
      </c>
    </row>
    <row r="22" spans="1:9" x14ac:dyDescent="0.25">
      <c r="A22" t="s">
        <v>7</v>
      </c>
      <c r="B22" t="s">
        <v>10</v>
      </c>
      <c r="C22">
        <v>6300</v>
      </c>
      <c r="D22">
        <v>260</v>
      </c>
      <c r="E22">
        <v>0.2</v>
      </c>
      <c r="F22">
        <v>5.5000000000000021E-2</v>
      </c>
      <c r="G22">
        <v>12</v>
      </c>
      <c r="H22">
        <v>346.50000000000011</v>
      </c>
      <c r="I22" t="b">
        <v>1</v>
      </c>
    </row>
    <row r="23" spans="1:9" x14ac:dyDescent="0.25">
      <c r="A23" t="s">
        <v>6</v>
      </c>
      <c r="B23" t="s">
        <v>11</v>
      </c>
      <c r="C23">
        <v>6800</v>
      </c>
      <c r="D23">
        <v>290</v>
      </c>
      <c r="E23">
        <v>0.19</v>
      </c>
      <c r="F23">
        <v>4.5000000000000012E-2</v>
      </c>
      <c r="G23">
        <v>8</v>
      </c>
      <c r="H23">
        <v>306.00000000000006</v>
      </c>
      <c r="I23" t="b">
        <v>0</v>
      </c>
    </row>
    <row r="24" spans="1:9" x14ac:dyDescent="0.25">
      <c r="A24" t="s">
        <v>9</v>
      </c>
      <c r="B24" t="s">
        <v>10</v>
      </c>
      <c r="C24">
        <v>9600</v>
      </c>
      <c r="D24">
        <v>300</v>
      </c>
      <c r="E24">
        <v>0.3</v>
      </c>
      <c r="F24">
        <v>0.155</v>
      </c>
      <c r="G24">
        <v>130</v>
      </c>
      <c r="H24">
        <v>1488</v>
      </c>
      <c r="I24" t="b">
        <v>1</v>
      </c>
    </row>
    <row r="25" spans="1:9" x14ac:dyDescent="0.25">
      <c r="A25" t="s">
        <v>8</v>
      </c>
      <c r="B25" t="s">
        <v>11</v>
      </c>
      <c r="C25">
        <v>8200</v>
      </c>
      <c r="D25">
        <v>220</v>
      </c>
      <c r="E25">
        <v>0.22</v>
      </c>
      <c r="F25">
        <v>7.5000000000000011E-2</v>
      </c>
      <c r="G25">
        <v>90</v>
      </c>
      <c r="H25">
        <v>615.00000000000011</v>
      </c>
      <c r="I25" t="b">
        <v>0</v>
      </c>
    </row>
    <row r="26" spans="1:9" x14ac:dyDescent="0.25">
      <c r="A26" t="s">
        <v>7</v>
      </c>
      <c r="B26" t="s">
        <v>10</v>
      </c>
      <c r="C26">
        <v>6000</v>
      </c>
      <c r="D26">
        <v>200</v>
      </c>
      <c r="E26">
        <v>0.18</v>
      </c>
      <c r="F26">
        <v>3.5000000000000003E-2</v>
      </c>
      <c r="G26">
        <v>140</v>
      </c>
      <c r="H26">
        <v>210.00000000000003</v>
      </c>
      <c r="I26" t="b">
        <v>1</v>
      </c>
    </row>
    <row r="27" spans="1:9" x14ac:dyDescent="0.25">
      <c r="A27" t="s">
        <v>6</v>
      </c>
      <c r="B27" t="s">
        <v>11</v>
      </c>
      <c r="C27">
        <v>6700</v>
      </c>
      <c r="D27">
        <v>260</v>
      </c>
      <c r="E27">
        <v>0.17</v>
      </c>
      <c r="F27">
        <v>2.5000000000000022E-2</v>
      </c>
      <c r="G27">
        <v>75</v>
      </c>
      <c r="H27">
        <v>167.50000000000014</v>
      </c>
      <c r="I27" t="b">
        <v>0</v>
      </c>
    </row>
    <row r="28" spans="1:9" x14ac:dyDescent="0.25">
      <c r="A28" t="s">
        <v>8</v>
      </c>
      <c r="B28" t="s">
        <v>10</v>
      </c>
      <c r="C28">
        <v>8800</v>
      </c>
      <c r="D28">
        <v>290</v>
      </c>
      <c r="E28">
        <v>0.26</v>
      </c>
      <c r="F28">
        <v>0.11500000000000002</v>
      </c>
      <c r="G28">
        <v>120</v>
      </c>
      <c r="H28">
        <v>1012.0000000000001</v>
      </c>
      <c r="I28" t="b">
        <v>1</v>
      </c>
    </row>
    <row r="29" spans="1:9" x14ac:dyDescent="0.25">
      <c r="A29" t="s">
        <v>9</v>
      </c>
      <c r="B29" t="s">
        <v>11</v>
      </c>
      <c r="C29">
        <v>11000</v>
      </c>
      <c r="D29">
        <v>290</v>
      </c>
      <c r="E29">
        <v>0.28999999999999998</v>
      </c>
      <c r="F29">
        <v>0.14499999999999999</v>
      </c>
      <c r="G29">
        <v>80</v>
      </c>
      <c r="H29">
        <v>1595</v>
      </c>
      <c r="I29" t="b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48148-D56C-4226-8079-3D20C9C9AE2E}">
  <sheetPr codeName="Sheet6">
    <tabColor rgb="FF00B0F0"/>
  </sheetPr>
  <dimension ref="A2:I6"/>
  <sheetViews>
    <sheetView workbookViewId="0">
      <selection activeCell="C4" sqref="C4"/>
    </sheetView>
  </sheetViews>
  <sheetFormatPr defaultRowHeight="15" x14ac:dyDescent="0.25"/>
  <cols>
    <col min="1" max="1" width="2" bestFit="1" customWidth="1"/>
    <col min="2" max="2" width="16.42578125" bestFit="1" customWidth="1"/>
    <col min="3" max="3" width="18.28515625" bestFit="1" customWidth="1"/>
    <col min="4" max="4" width="12.42578125" bestFit="1" customWidth="1"/>
    <col min="5" max="5" width="13.42578125" bestFit="1" customWidth="1"/>
    <col min="6" max="6" width="20.42578125" bestFit="1" customWidth="1"/>
    <col min="7" max="7" width="19.7109375" bestFit="1" customWidth="1"/>
    <col min="8" max="8" width="19.85546875" bestFit="1" customWidth="1"/>
    <col min="9" max="9" width="2.140625" customWidth="1"/>
  </cols>
  <sheetData>
    <row r="2" spans="1:9" ht="21" x14ac:dyDescent="0.35">
      <c r="A2" s="7"/>
      <c r="B2" s="12" t="s">
        <v>3</v>
      </c>
      <c r="C2" s="12"/>
      <c r="D2" s="12"/>
      <c r="E2" s="12"/>
      <c r="F2" s="12"/>
      <c r="G2" s="12"/>
      <c r="H2" s="12"/>
      <c r="I2" s="7"/>
    </row>
    <row r="3" spans="1:9" x14ac:dyDescent="0.25">
      <c r="A3" s="7"/>
      <c r="B3" s="7" t="s">
        <v>24</v>
      </c>
      <c r="C3" s="7" t="s">
        <v>18</v>
      </c>
      <c r="D3" s="7" t="s">
        <v>19</v>
      </c>
      <c r="E3" s="7" t="s">
        <v>20</v>
      </c>
      <c r="F3" s="7" t="s">
        <v>21</v>
      </c>
      <c r="G3" s="7" t="s">
        <v>22</v>
      </c>
      <c r="H3" s="7" t="s">
        <v>23</v>
      </c>
      <c r="I3" s="7"/>
    </row>
    <row r="4" spans="1:9" x14ac:dyDescent="0.25">
      <c r="A4" s="7">
        <v>1</v>
      </c>
      <c r="B4" s="3" t="s">
        <v>10</v>
      </c>
      <c r="C4" s="4">
        <v>102800</v>
      </c>
      <c r="D4" s="4">
        <v>9710</v>
      </c>
      <c r="E4" s="5">
        <v>0.23285714285714285</v>
      </c>
      <c r="F4" s="5">
        <v>8.7857142857142856E-2</v>
      </c>
      <c r="G4" s="6">
        <v>599</v>
      </c>
      <c r="H4" s="4">
        <v>9970</v>
      </c>
      <c r="I4" s="7"/>
    </row>
    <row r="5" spans="1:9" x14ac:dyDescent="0.25">
      <c r="A5" s="7">
        <v>2</v>
      </c>
      <c r="B5" s="3" t="s">
        <v>11</v>
      </c>
      <c r="C5" s="4">
        <v>5187457</v>
      </c>
      <c r="D5" s="4">
        <v>3520</v>
      </c>
      <c r="E5" s="5">
        <v>0.22785714285714284</v>
      </c>
      <c r="F5" s="5">
        <v>8.2857142857142865E-2</v>
      </c>
      <c r="G5" s="6">
        <v>367</v>
      </c>
      <c r="H5" s="4">
        <v>10403.500000000002</v>
      </c>
      <c r="I5" s="7"/>
    </row>
    <row r="6" spans="1:9" x14ac:dyDescent="0.25">
      <c r="A6" s="7"/>
      <c r="B6" s="8" t="s">
        <v>17</v>
      </c>
      <c r="C6" s="9">
        <v>5290257</v>
      </c>
      <c r="D6" s="9">
        <v>13230</v>
      </c>
      <c r="E6" s="10">
        <v>0.2303571428571429</v>
      </c>
      <c r="F6" s="10">
        <v>8.535714285714284E-2</v>
      </c>
      <c r="G6" s="11">
        <v>966</v>
      </c>
      <c r="H6" s="9">
        <v>20373.5</v>
      </c>
      <c r="I6" s="7"/>
    </row>
  </sheetData>
  <mergeCells count="1">
    <mergeCell ref="B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668F0-ADBC-4798-BE7A-648A0A311566}">
  <sheetPr codeName="Sheet7">
    <tabColor rgb="FF00B0F0"/>
  </sheetPr>
  <dimension ref="A2:I8"/>
  <sheetViews>
    <sheetView workbookViewId="0">
      <selection activeCell="D19" sqref="D19"/>
    </sheetView>
  </sheetViews>
  <sheetFormatPr defaultRowHeight="15" x14ac:dyDescent="0.25"/>
  <cols>
    <col min="1" max="1" width="2" bestFit="1" customWidth="1"/>
    <col min="2" max="2" width="13.140625" bestFit="1" customWidth="1"/>
    <col min="3" max="3" width="18.28515625" bestFit="1" customWidth="1"/>
    <col min="4" max="4" width="12.42578125" bestFit="1" customWidth="1"/>
    <col min="5" max="5" width="13.42578125" bestFit="1" customWidth="1"/>
    <col min="6" max="6" width="20.42578125" bestFit="1" customWidth="1"/>
    <col min="7" max="7" width="19.7109375" bestFit="1" customWidth="1"/>
    <col min="8" max="8" width="19.85546875" bestFit="1" customWidth="1"/>
    <col min="9" max="9" width="2.140625" customWidth="1"/>
  </cols>
  <sheetData>
    <row r="2" spans="1:9" ht="21" x14ac:dyDescent="0.35">
      <c r="A2" s="7"/>
      <c r="B2" s="12" t="s">
        <v>16</v>
      </c>
      <c r="C2" s="12"/>
      <c r="D2" s="12"/>
      <c r="E2" s="12"/>
      <c r="F2" s="12"/>
      <c r="G2" s="12"/>
      <c r="H2" s="12"/>
      <c r="I2" s="7"/>
    </row>
    <row r="3" spans="1:9" x14ac:dyDescent="0.25">
      <c r="A3" s="7"/>
      <c r="B3" s="7" t="s">
        <v>25</v>
      </c>
      <c r="C3" s="7" t="s">
        <v>18</v>
      </c>
      <c r="D3" s="7" t="s">
        <v>19</v>
      </c>
      <c r="E3" s="7" t="s">
        <v>20</v>
      </c>
      <c r="F3" s="7" t="s">
        <v>21</v>
      </c>
      <c r="G3" s="7" t="s">
        <v>22</v>
      </c>
      <c r="H3" s="7" t="s">
        <v>23</v>
      </c>
      <c r="I3" s="7"/>
    </row>
    <row r="4" spans="1:9" x14ac:dyDescent="0.25">
      <c r="A4" s="7">
        <v>1</v>
      </c>
      <c r="B4" s="3" t="s">
        <v>9</v>
      </c>
      <c r="C4" s="4">
        <v>5141057</v>
      </c>
      <c r="D4" s="4">
        <v>1830</v>
      </c>
      <c r="E4" s="5">
        <v>0.28142857142857147</v>
      </c>
      <c r="F4" s="5">
        <v>0.13642857142857145</v>
      </c>
      <c r="G4" s="6">
        <v>257</v>
      </c>
      <c r="H4" s="4">
        <v>9613.5000000000018</v>
      </c>
      <c r="I4" s="7"/>
    </row>
    <row r="5" spans="1:9" x14ac:dyDescent="0.25">
      <c r="A5" s="7">
        <v>2</v>
      </c>
      <c r="B5" s="3" t="s">
        <v>8</v>
      </c>
      <c r="C5" s="4">
        <v>65300</v>
      </c>
      <c r="D5" s="4">
        <v>1980</v>
      </c>
      <c r="E5" s="5">
        <v>0.24249999999999999</v>
      </c>
      <c r="F5" s="5">
        <v>9.7500000000000003E-2</v>
      </c>
      <c r="G5" s="6">
        <v>276.5</v>
      </c>
      <c r="H5" s="4">
        <v>6362.5</v>
      </c>
      <c r="I5" s="7"/>
    </row>
    <row r="6" spans="1:9" x14ac:dyDescent="0.25">
      <c r="A6" s="7">
        <v>3</v>
      </c>
      <c r="B6" s="3" t="s">
        <v>7</v>
      </c>
      <c r="C6" s="4">
        <v>39400</v>
      </c>
      <c r="D6" s="4">
        <v>1280</v>
      </c>
      <c r="E6" s="5">
        <v>0.20999999999999996</v>
      </c>
      <c r="F6" s="5">
        <v>6.5000000000000016E-2</v>
      </c>
      <c r="G6" s="6">
        <v>198</v>
      </c>
      <c r="H6" s="4">
        <v>2669</v>
      </c>
      <c r="I6" s="7"/>
    </row>
    <row r="7" spans="1:9" x14ac:dyDescent="0.25">
      <c r="A7" s="7">
        <v>4</v>
      </c>
      <c r="B7" s="3" t="s">
        <v>6</v>
      </c>
      <c r="C7" s="4">
        <v>44500</v>
      </c>
      <c r="D7" s="4">
        <v>8140</v>
      </c>
      <c r="E7" s="5">
        <v>0.18285714285714283</v>
      </c>
      <c r="F7" s="5">
        <v>3.7857142857142874E-2</v>
      </c>
      <c r="G7" s="6">
        <v>234.5</v>
      </c>
      <c r="H7" s="4">
        <v>1728.5000000000007</v>
      </c>
      <c r="I7" s="7"/>
    </row>
    <row r="8" spans="1:9" x14ac:dyDescent="0.25">
      <c r="A8" s="7"/>
      <c r="B8" s="8" t="s">
        <v>17</v>
      </c>
      <c r="C8" s="9">
        <v>5290257</v>
      </c>
      <c r="D8" s="9">
        <v>13230</v>
      </c>
      <c r="E8" s="10">
        <v>0.23035714285714293</v>
      </c>
      <c r="F8" s="10">
        <v>8.5357142857142868E-2</v>
      </c>
      <c r="G8" s="11">
        <v>966</v>
      </c>
      <c r="H8" s="9">
        <v>20373.500000000004</v>
      </c>
      <c r="I8" s="7"/>
    </row>
  </sheetData>
  <mergeCells count="1">
    <mergeCell ref="B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AB398-9093-4A29-9687-6A6986515B09}">
  <sheetPr codeName="Sheet8">
    <tabColor rgb="FF00B0F0"/>
  </sheetPr>
  <dimension ref="A1:I8"/>
  <sheetViews>
    <sheetView workbookViewId="0">
      <selection activeCell="D19" sqref="D19"/>
    </sheetView>
  </sheetViews>
  <sheetFormatPr defaultRowHeight="15" x14ac:dyDescent="0.25"/>
  <cols>
    <col min="1" max="1" width="2" bestFit="1" customWidth="1"/>
    <col min="2" max="2" width="23.85546875" bestFit="1" customWidth="1"/>
    <col min="3" max="3" width="18.28515625" bestFit="1" customWidth="1"/>
    <col min="4" max="4" width="12.42578125" bestFit="1" customWidth="1"/>
    <col min="5" max="5" width="13.42578125" bestFit="1" customWidth="1"/>
    <col min="6" max="6" width="20.42578125" bestFit="1" customWidth="1"/>
    <col min="7" max="7" width="19.7109375" bestFit="1" customWidth="1"/>
    <col min="8" max="8" width="19.85546875" bestFit="1" customWidth="1"/>
    <col min="9" max="9" width="2.140625" customWidth="1"/>
  </cols>
  <sheetData>
    <row r="1" spans="1:9" x14ac:dyDescent="0.25">
      <c r="B1" s="2" t="s">
        <v>2</v>
      </c>
      <c r="C1" t="s">
        <v>27</v>
      </c>
    </row>
    <row r="2" spans="1:9" ht="21" x14ac:dyDescent="0.35">
      <c r="A2" s="7"/>
      <c r="B2" s="12" t="s">
        <v>26</v>
      </c>
      <c r="C2" s="12"/>
      <c r="D2" s="12"/>
      <c r="E2" s="12"/>
      <c r="F2" s="12"/>
      <c r="G2" s="12"/>
      <c r="H2" s="12"/>
      <c r="I2" s="7"/>
    </row>
    <row r="3" spans="1:9" x14ac:dyDescent="0.25">
      <c r="A3" s="7"/>
      <c r="B3" s="7" t="s">
        <v>31</v>
      </c>
      <c r="C3" s="7" t="s">
        <v>18</v>
      </c>
      <c r="D3" s="7" t="s">
        <v>19</v>
      </c>
      <c r="E3" s="7" t="s">
        <v>20</v>
      </c>
      <c r="F3" s="7" t="s">
        <v>21</v>
      </c>
      <c r="G3" s="7" t="s">
        <v>22</v>
      </c>
      <c r="H3" s="7" t="s">
        <v>23</v>
      </c>
      <c r="I3" s="7"/>
    </row>
    <row r="4" spans="1:9" x14ac:dyDescent="0.25">
      <c r="A4" s="7">
        <v>1</v>
      </c>
      <c r="B4" s="3" t="s">
        <v>10</v>
      </c>
      <c r="C4" s="4">
        <v>102800</v>
      </c>
      <c r="D4" s="4">
        <v>9710</v>
      </c>
      <c r="E4" s="5">
        <v>0.23285714285714285</v>
      </c>
      <c r="F4" s="5">
        <v>8.785714285714287E-2</v>
      </c>
      <c r="G4" s="6">
        <v>599</v>
      </c>
      <c r="H4" s="4">
        <v>9970</v>
      </c>
      <c r="I4" s="7"/>
    </row>
    <row r="5" spans="1:9" x14ac:dyDescent="0.25">
      <c r="A5" s="7">
        <v>2</v>
      </c>
      <c r="B5" s="13" t="s">
        <v>28</v>
      </c>
      <c r="C5" s="4">
        <v>16800</v>
      </c>
      <c r="D5" s="4">
        <v>640</v>
      </c>
      <c r="E5" s="5">
        <v>0.17</v>
      </c>
      <c r="F5" s="5">
        <v>2.5000000000000005E-2</v>
      </c>
      <c r="G5" s="6">
        <v>164.5</v>
      </c>
      <c r="H5" s="4">
        <v>444.00000000000006</v>
      </c>
      <c r="I5" s="7"/>
    </row>
    <row r="6" spans="1:9" x14ac:dyDescent="0.25">
      <c r="A6" s="7">
        <v>3</v>
      </c>
      <c r="B6" s="13" t="s">
        <v>29</v>
      </c>
      <c r="C6" s="4">
        <v>32900</v>
      </c>
      <c r="D6" s="4">
        <v>7400</v>
      </c>
      <c r="E6" s="5">
        <v>0.21400000000000002</v>
      </c>
      <c r="F6" s="5">
        <v>6.9000000000000006E-2</v>
      </c>
      <c r="G6" s="6">
        <v>142.5</v>
      </c>
      <c r="H6" s="4">
        <v>2332.5000000000005</v>
      </c>
      <c r="I6" s="7"/>
    </row>
    <row r="7" spans="1:9" x14ac:dyDescent="0.25">
      <c r="A7" s="7">
        <v>4</v>
      </c>
      <c r="B7" s="13" t="s">
        <v>30</v>
      </c>
      <c r="C7" s="4">
        <v>53100</v>
      </c>
      <c r="D7" s="4">
        <v>1670</v>
      </c>
      <c r="E7" s="5">
        <v>0.28000000000000003</v>
      </c>
      <c r="F7" s="5">
        <v>0.13500000000000001</v>
      </c>
      <c r="G7" s="6">
        <v>292</v>
      </c>
      <c r="H7" s="4">
        <v>7193.5</v>
      </c>
      <c r="I7" s="7"/>
    </row>
    <row r="8" spans="1:9" x14ac:dyDescent="0.25">
      <c r="A8" s="7"/>
      <c r="B8" s="8" t="s">
        <v>17</v>
      </c>
      <c r="C8" s="9">
        <v>102800</v>
      </c>
      <c r="D8" s="9">
        <v>9710</v>
      </c>
      <c r="E8" s="10">
        <v>0.23285714285714285</v>
      </c>
      <c r="F8" s="10">
        <v>8.785714285714287E-2</v>
      </c>
      <c r="G8" s="11">
        <v>599</v>
      </c>
      <c r="H8" s="9">
        <v>9970</v>
      </c>
      <c r="I8" s="7"/>
    </row>
  </sheetData>
  <mergeCells count="1">
    <mergeCell ref="B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Sample Raw Data</vt:lpstr>
      <vt:lpstr>Insert Data</vt:lpstr>
      <vt:lpstr>Business Type Pivot</vt:lpstr>
      <vt:lpstr>Rank Pivot</vt:lpstr>
      <vt:lpstr>Market Benchmark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Olivero</dc:creator>
  <cp:lastModifiedBy>Luis Olivero</cp:lastModifiedBy>
  <dcterms:created xsi:type="dcterms:W3CDTF">2023-10-29T05:37:53Z</dcterms:created>
  <dcterms:modified xsi:type="dcterms:W3CDTF">2023-10-29T20:02:51Z</dcterms:modified>
</cp:coreProperties>
</file>